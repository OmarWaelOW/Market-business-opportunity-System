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Regional Demand Signals" sheetId="2" state="visible" r:id="rId4"/>
    <sheet name="Competitor &amp; Project Moves" sheetId="3" state="visible" r:id="rId5"/>
    <sheet name="Input Cost Signa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<sst xmlns="http://schemas.openxmlformats.org/spreadsheetml/2006/main" count="57" uniqueCount="56">
  <si>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 xml:space="preserve">EGY-CRETE Market Opportunity Tracker — How to Use</t>
  </si>
  <si>
    <t xml:space="preserve">Purpose</t>
  </si>
  <si>
    <t xml:space="preserve">A lightweight quarterly system to spot regional demand gaps, watch competitors, and catch input-cost shifts early — the same 'undervalued signal' discipline Brighton applies to scouting, applied to your market instead.</t>
  </si>
  <si>
    <t xml:space="preserve">Tab 1: Regional Demand Signals</t>
  </si>
  <si>
    <t xml:space="preserve">Log where construction/infrastructure activity is accelerating and rate how well-served that area currently is by paver/interlock suppliers. A high demand + low coverage score is a gap worth acting on.</t>
  </si>
  <si>
    <t xml:space="preserve">Tab 2: Competitor &amp; Project Moves</t>
  </si>
  <si>
    <t xml:space="preserve">Track competitor capacity changes, pricing moves, and major project awards. Watch for patterns: who's expanding, who's winning which developers, and where you have room to compete.</t>
  </si>
  <si>
    <t xml:space="preserve">Tab 3: Input Cost Signals</t>
  </si>
  <si>
    <t xml:space="preserve">Track cement, aggregate, and energy cost/supply signals on a rolling basis, with a trigger note for what action to take (e.g. bulk purchase, lock in contract, reprice).</t>
  </si>
  <si>
    <t xml:space="preserve">Cadence</t>
  </si>
  <si>
    <t xml:space="preserve">Update all three tabs quarterly at minimum; input costs are worth a quick monthly glance given how fast cement prices have moved recently.</t>
  </si>
  <si>
    <t xml:space="preserve">Color key</t>
  </si>
  <si>
    <t xml:space="preserve">Blue text + yellow fill = cells you fill in. Black text = fixed labels or formulas. Review scores and priority flags are calculated automatically from what you enter.</t>
  </si>
  <si>
    <t xml:space="preserve">Over time</t>
  </si>
  <si>
    <t xml:space="preserve">Revisit closed opportunities/decisions every 6-12 months and note what actually happened — that feedback is what turns this into a system that improves, rather than just a static log.</t>
  </si>
  <si>
    <t xml:space="preserve">Regional Demand Signals</t>
  </si>
  <si>
    <t xml:space="preserve">Score Demand Growth and Current Coverage from 1 (low) to 5 (high). Opportunity Gap = Demand - Coverage; higher gap = bigger untapped opportunity.</t>
  </si>
  <si>
    <t xml:space="preserve">Region / City</t>
  </si>
  <si>
    <t xml:space="preserve">Signal observed (project, policy, developer activity)</t>
  </si>
  <si>
    <t xml:space="preserve">Source / Date</t>
  </si>
  <si>
    <t xml:space="preserve">Demand Growth (1-5)</t>
  </si>
  <si>
    <t xml:space="preserve">Current Supplier Coverage (1-5)</t>
  </si>
  <si>
    <t xml:space="preserve">Opportunity Gap</t>
  </si>
  <si>
    <t xml:space="preserve">Priority</t>
  </si>
  <si>
    <t xml:space="preserve">Notes / Next Action</t>
  </si>
  <si>
    <t xml:space="preserve">e.g. New Administrative Capital</t>
  </si>
  <si>
    <t xml:space="preserve">New residential phase announced by developer partner</t>
  </si>
  <si>
    <t xml:space="preserve">Developer press release, Jan 2026</t>
  </si>
  <si>
    <t xml:space="preserve">Contact developer's procurement team</t>
  </si>
  <si>
    <t xml:space="preserve">Competitor &amp; Project Moves</t>
  </si>
  <si>
    <t xml:space="preserve">Log competitor capacity/pricing moves and major project awards you hear about. Use the Implication column to note what it means for EGY-CRETE.</t>
  </si>
  <si>
    <t xml:space="preserve">Date</t>
  </si>
  <si>
    <t xml:space="preserve">Competitor / Project</t>
  </si>
  <si>
    <t xml:space="preserve">Move observed (capacity, price, product launch, contract won)</t>
  </si>
  <si>
    <t xml:space="preserve">Source</t>
  </si>
  <si>
    <t xml:space="preserve">Impact (1-5)</t>
  </si>
  <si>
    <t xml:space="preserve">Implication for EGY-CRETE</t>
  </si>
  <si>
    <t xml:space="preserve">Action / Owner</t>
  </si>
  <si>
    <t xml:space="preserve">e.g. 2026-02-10</t>
  </si>
  <si>
    <t xml:space="preserve">e.g. Competitor X</t>
  </si>
  <si>
    <t xml:space="preserve">e.g. Announced new production line in Sadat City</t>
  </si>
  <si>
    <t xml:space="preserve">e.g. Industry news article</t>
  </si>
  <si>
    <t xml:space="preserve">e.g. Increased local competition, possible price pressure</t>
  </si>
  <si>
    <t xml:space="preserve">e.g. Sales lead to review pricing strategy</t>
  </si>
  <si>
    <t xml:space="preserve">Input Cost Signals</t>
  </si>
  <si>
    <t xml:space="preserve">Track cement, aggregate, and energy cost/supply signals. Trend auto-flags direction if you fill in current and prior price.</t>
  </si>
  <si>
    <t xml:space="preserve">Input (cement, aggregate, energy, etc.)</t>
  </si>
  <si>
    <t xml:space="preserve">Price / Cost (EGP)</t>
  </si>
  <si>
    <t xml:space="preserve">Prior Price (EGP)</t>
  </si>
  <si>
    <t xml:space="preserve">Trend</t>
  </si>
  <si>
    <t xml:space="preserve">Source / Note</t>
  </si>
  <si>
    <t xml:space="preserve">Suggested Action</t>
  </si>
  <si>
    <t xml:space="preserve">e.g. 2026-09-01</t>
  </si>
  <si>
    <t xml:space="preserve">e.g. Cement (OPC, per ton)</t>
  </si>
  <si>
    <t xml:space="preserve">e.g. Supplier price list / industry report</t>
  </si>
  <si>
    <t xml:space="preserve">e.g. Consider locking in bulk purchase while price is falling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</si>
</sst>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43.5" hidden="false" customHeight="true" outlineLevel="0" collapsed="false">
      <c r="A3" s="2" t="s">
        <v>1</v>
      </c>
      <c r="B3" s="3" t="s">
        <v>2</v>
      </c>
      <c r="C3" s="3"/>
      <c r="D3" s="3"/>
    </row>
    <row r="4" customFormat="false" ht="43.5" hidden="false" customHeight="true" outlineLevel="0" collapsed="false">
      <c r="A4" s="2" t="s">
        <v>3</v>
      </c>
      <c r="B4" s="3" t="s">
        <v>4</v>
      </c>
      <c r="C4" s="3"/>
      <c r="D4" s="3"/>
    </row>
    <row r="5" customFormat="false" ht="43.5" hidden="false" customHeight="true" outlineLevel="0" collapsed="false">
      <c r="A5" s="2" t="s">
        <v>5</v>
      </c>
      <c r="B5" s="3" t="s">
        <v>6</v>
      </c>
      <c r="C5" s="3"/>
      <c r="D5" s="3"/>
    </row>
    <row r="6" customFormat="false" ht="43.5" hidden="false" customHeight="true" outlineLevel="0" collapsed="false">
      <c r="A6" s="2" t="s">
        <v>7</v>
      </c>
      <c r="B6" s="3" t="s">
        <v>8</v>
      </c>
      <c r="C6" s="3"/>
      <c r="D6" s="3"/>
    </row>
    <row r="7" customFormat="false" ht="43.5" hidden="false" customHeight="true" outlineLevel="0" collapsed="false">
      <c r="A7" s="2" t="s">
        <v>9</v>
      </c>
      <c r="B7" s="3" t="s">
        <v>10</v>
      </c>
      <c r="C7" s="3"/>
      <c r="D7" s="3"/>
    </row>
    <row r="8" customFormat="false" ht="43.5" hidden="false" customHeight="true" outlineLevel="0" collapsed="false">
      <c r="A8" s="2" t="s">
        <v>11</v>
      </c>
      <c r="B8" s="3" t="s">
        <v>12</v>
      </c>
      <c r="C8" s="3"/>
      <c r="D8" s="3"/>
    </row>
    <row r="9" customFormat="false" ht="43.5" hidden="false" customHeight="true" outlineLevel="0" collapsed="false">
      <c r="A9" s="2" t="s">
        <v>13</v>
      </c>
      <c r="B9" s="3" t="s">
        <v>14</v>
      </c>
      <c r="C9" s="3"/>
      <c r="D9" s="3"/>
    </row>
  </sheetData>
  <mergeCells count="8">
    <mergeCell ref="A1:D1"/>
    <mergeCell ref="B3:D3"/>
    <mergeCell ref="B4:D4"/>
    <mergeCell ref="B5:D5"/>
    <mergeCell ref="B6:D6"/>
    <mergeCell ref="B7:D7"/>
    <mergeCell ref="B8:D8"/>
    <mergeCell ref="B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26"/>
  </cols>
  <sheetData>
    <row r="1" customFormat="false" ht="27.7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4" t="s">
        <v>16</v>
      </c>
      <c r="B2" s="4"/>
      <c r="C2" s="4"/>
      <c r="D2" s="4"/>
      <c r="E2" s="4"/>
      <c r="F2" s="4"/>
      <c r="G2" s="4"/>
      <c r="H2" s="4"/>
    </row>
    <row r="4" customFormat="false" ht="33.75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</row>
    <row r="5" customFormat="false" ht="36" hidden="false" customHeight="true" outlineLevel="0" collapsed="false">
      <c r="A5" s="6" t="s">
        <v>25</v>
      </c>
      <c r="B5" s="6" t="s">
        <v>26</v>
      </c>
      <c r="C5" s="6" t="s">
        <v>27</v>
      </c>
      <c r="D5" s="6" t="n">
        <v>5</v>
      </c>
      <c r="E5" s="6" t="n">
        <v>3</v>
      </c>
      <c r="F5" s="7" t="n">
        <f aca="false">IF(OR(D5="",E5=""),"",D5-E5)</f>
        <v>2</v>
      </c>
      <c r="G5" s="8" t="str">
        <f aca="false">IF(F5="","",IF(F5&gt;=3,"High",IF(F5&gt;=1,"Medium","Low")))</f>
        <v>Medium</v>
      </c>
      <c r="H5" s="6" t="s">
        <v>28</v>
      </c>
    </row>
    <row r="6" customFormat="false" ht="36" hidden="false" customHeight="true" outlineLevel="0" collapsed="false">
      <c r="A6" s="6"/>
      <c r="B6" s="6"/>
      <c r="C6" s="6"/>
      <c r="D6" s="6"/>
      <c r="E6" s="6"/>
      <c r="F6" s="7" t="str">
        <f aca="false">IF(OR(D6="",E6=""),"",D6-E6)</f>
        <v/>
      </c>
      <c r="G6" s="8" t="str">
        <f aca="false">IF(F6="","",IF(F6&gt;=3,"High",IF(F6&gt;=1,"Medium","Low")))</f>
        <v/>
      </c>
      <c r="H6" s="6"/>
    </row>
    <row r="7" customFormat="false" ht="36" hidden="false" customHeight="true" outlineLevel="0" collapsed="false">
      <c r="A7" s="6"/>
      <c r="B7" s="6"/>
      <c r="C7" s="6"/>
      <c r="D7" s="6"/>
      <c r="E7" s="6"/>
      <c r="F7" s="7" t="str">
        <f aca="false">IF(OR(D7="",E7=""),"",D7-E7)</f>
        <v/>
      </c>
      <c r="G7" s="8" t="str">
        <f aca="false">IF(F7="","",IF(F7&gt;=3,"High",IF(F7&gt;=1,"Medium","Low")))</f>
        <v/>
      </c>
      <c r="H7" s="6"/>
    </row>
    <row r="8" customFormat="false" ht="36" hidden="false" customHeight="true" outlineLevel="0" collapsed="false">
      <c r="A8" s="6"/>
      <c r="B8" s="6"/>
      <c r="C8" s="6"/>
      <c r="D8" s="6"/>
      <c r="E8" s="6"/>
      <c r="F8" s="7" t="str">
        <f aca="false">IF(OR(D8="",E8=""),"",D8-E8)</f>
        <v/>
      </c>
      <c r="G8" s="8" t="str">
        <f aca="false">IF(F8="","",IF(F8&gt;=3,"High",IF(F8&gt;=1,"Medium","Low")))</f>
        <v/>
      </c>
      <c r="H8" s="6"/>
    </row>
    <row r="9" customFormat="false" ht="36" hidden="false" customHeight="true" outlineLevel="0" collapsed="false">
      <c r="A9" s="6"/>
      <c r="B9" s="6"/>
      <c r="C9" s="6"/>
      <c r="D9" s="6"/>
      <c r="E9" s="6"/>
      <c r="F9" s="7" t="str">
        <f aca="false">IF(OR(D9="",E9=""),"",D9-E9)</f>
        <v/>
      </c>
      <c r="G9" s="8" t="str">
        <f aca="false">IF(F9="","",IF(F9&gt;=3,"High",IF(F9&gt;=1,"Medium","Low")))</f>
        <v/>
      </c>
      <c r="H9" s="6"/>
    </row>
    <row r="10" customFormat="false" ht="36" hidden="false" customHeight="true" outlineLevel="0" collapsed="false">
      <c r="A10" s="6"/>
      <c r="B10" s="6"/>
      <c r="C10" s="6"/>
      <c r="D10" s="6"/>
      <c r="E10" s="6"/>
      <c r="F10" s="7" t="str">
        <f aca="false">IF(OR(D10="",E10=""),"",D10-E10)</f>
        <v/>
      </c>
      <c r="G10" s="8" t="str">
        <f aca="false">IF(F10="","",IF(F10&gt;=3,"High",IF(F10&gt;=1,"Medium","Low")))</f>
        <v/>
      </c>
      <c r="H10" s="6"/>
    </row>
    <row r="11" customFormat="false" ht="36" hidden="false" customHeight="true" outlineLevel="0" collapsed="false">
      <c r="A11" s="6"/>
      <c r="B11" s="6"/>
      <c r="C11" s="6"/>
      <c r="D11" s="6"/>
      <c r="E11" s="6"/>
      <c r="F11" s="7" t="str">
        <f aca="false">IF(OR(D11="",E11=""),"",D11-E11)</f>
        <v/>
      </c>
      <c r="G11" s="8" t="str">
        <f aca="false">IF(F11="","",IF(F11&gt;=3,"High",IF(F11&gt;=1,"Medium","Low")))</f>
        <v/>
      </c>
      <c r="H11" s="6"/>
    </row>
    <row r="12" customFormat="false" ht="36" hidden="false" customHeight="true" outlineLevel="0" collapsed="false">
      <c r="A12" s="6"/>
      <c r="B12" s="6"/>
      <c r="C12" s="6"/>
      <c r="D12" s="6"/>
      <c r="E12" s="6"/>
      <c r="F12" s="7" t="str">
        <f aca="false">IF(OR(D12="",E12=""),"",D12-E12)</f>
        <v/>
      </c>
      <c r="G12" s="8" t="str">
        <f aca="false">IF(F12="","",IF(F12&gt;=3,"High",IF(F12&gt;=1,"Medium","Low")))</f>
        <v/>
      </c>
      <c r="H12" s="6"/>
    </row>
    <row r="13" customFormat="false" ht="36" hidden="false" customHeight="true" outlineLevel="0" collapsed="false">
      <c r="A13" s="6"/>
      <c r="B13" s="6"/>
      <c r="C13" s="6"/>
      <c r="D13" s="6"/>
      <c r="E13" s="6"/>
      <c r="F13" s="7" t="str">
        <f aca="false">IF(OR(D13="",E13=""),"",D13-E13)</f>
        <v/>
      </c>
      <c r="G13" s="8" t="str">
        <f aca="false">IF(F13="","",IF(F13&gt;=3,"High",IF(F13&gt;=1,"Medium","Low")))</f>
        <v/>
      </c>
      <c r="H13" s="6"/>
    </row>
    <row r="14" customFormat="false" ht="36" hidden="false" customHeight="true" outlineLevel="0" collapsed="false">
      <c r="A14" s="6"/>
      <c r="B14" s="6"/>
      <c r="C14" s="6"/>
      <c r="D14" s="6"/>
      <c r="E14" s="6"/>
      <c r="F14" s="7" t="str">
        <f aca="false">IF(OR(D14="",E14=""),"",D14-E14)</f>
        <v/>
      </c>
      <c r="G14" s="8" t="str">
        <f aca="false">IF(F14="","",IF(F14&gt;=3,"High",IF(F14&gt;=1,"Medium","Low")))</f>
        <v/>
      </c>
      <c r="H14" s="6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1"/>
    <col collapsed="false" customWidth="true" hidden="false" outlineLevel="0" max="6" min="6" style="0" width="28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4" t="s">
        <v>30</v>
      </c>
      <c r="B2" s="4"/>
      <c r="C2" s="4"/>
      <c r="D2" s="4"/>
      <c r="E2" s="4"/>
      <c r="F2" s="4"/>
      <c r="G2" s="4"/>
    </row>
    <row r="4" customFormat="false" ht="33.75" hidden="false" customHeight="true" outlineLevel="0" collapsed="false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</row>
    <row r="5" customFormat="false" ht="36" hidden="false" customHeight="true" outlineLevel="0" collapsed="false">
      <c r="A5" s="6" t="s">
        <v>38</v>
      </c>
      <c r="B5" s="6" t="s">
        <v>39</v>
      </c>
      <c r="C5" s="6" t="s">
        <v>40</v>
      </c>
      <c r="D5" s="6" t="s">
        <v>41</v>
      </c>
      <c r="E5" s="6" t="n">
        <v>4</v>
      </c>
      <c r="F5" s="6" t="s">
        <v>42</v>
      </c>
      <c r="G5" s="6" t="s">
        <v>43</v>
      </c>
    </row>
    <row r="6" customFormat="false" ht="36" hidden="false" customHeight="true" outlineLevel="0" collapsed="false">
      <c r="A6" s="6"/>
      <c r="B6" s="6"/>
      <c r="C6" s="6"/>
      <c r="D6" s="6"/>
      <c r="E6" s="6"/>
      <c r="F6" s="6"/>
      <c r="G6" s="6"/>
    </row>
    <row r="7" customFormat="false" ht="36" hidden="false" customHeight="true" outlineLevel="0" collapsed="false">
      <c r="A7" s="6"/>
      <c r="B7" s="6"/>
      <c r="C7" s="6"/>
      <c r="D7" s="6"/>
      <c r="E7" s="6"/>
      <c r="F7" s="6"/>
      <c r="G7" s="6"/>
    </row>
    <row r="8" customFormat="false" ht="36" hidden="false" customHeight="true" outlineLevel="0" collapsed="false">
      <c r="A8" s="6"/>
      <c r="B8" s="6"/>
      <c r="C8" s="6"/>
      <c r="D8" s="6"/>
      <c r="E8" s="6"/>
      <c r="F8" s="6"/>
      <c r="G8" s="6"/>
    </row>
    <row r="9" customFormat="false" ht="36" hidden="false" customHeight="true" outlineLevel="0" collapsed="false">
      <c r="A9" s="6"/>
      <c r="B9" s="6"/>
      <c r="C9" s="6"/>
      <c r="D9" s="6"/>
      <c r="E9" s="6"/>
      <c r="F9" s="6"/>
      <c r="G9" s="6"/>
    </row>
    <row r="10" customFormat="false" ht="36" hidden="false" customHeight="true" outlineLevel="0" collapsed="false">
      <c r="A10" s="6"/>
      <c r="B10" s="6"/>
      <c r="C10" s="6"/>
      <c r="D10" s="6"/>
      <c r="E10" s="6"/>
      <c r="F10" s="6"/>
      <c r="G10" s="6"/>
    </row>
    <row r="11" customFormat="false" ht="36" hidden="false" customHeight="true" outlineLevel="0" collapsed="false">
      <c r="A11" s="6"/>
      <c r="B11" s="6"/>
      <c r="C11" s="6"/>
      <c r="D11" s="6"/>
      <c r="E11" s="6"/>
      <c r="F11" s="6"/>
      <c r="G11" s="6"/>
    </row>
    <row r="12" customFormat="false" ht="36" hidden="false" customHeight="true" outlineLevel="0" collapsed="false">
      <c r="A12" s="6"/>
      <c r="B12" s="6"/>
      <c r="C12" s="6"/>
      <c r="D12" s="6"/>
      <c r="E12" s="6"/>
      <c r="F12" s="6"/>
      <c r="G12" s="6"/>
    </row>
    <row r="13" customFormat="false" ht="36" hidden="false" customHeight="true" outlineLevel="0" collapsed="false">
      <c r="A13" s="6"/>
      <c r="B13" s="6"/>
      <c r="C13" s="6"/>
      <c r="D13" s="6"/>
      <c r="E13" s="6"/>
      <c r="F13" s="6"/>
      <c r="G13" s="6"/>
    </row>
    <row r="14" customFormat="false" ht="36" hidden="false" customHeight="true" outlineLevel="0" collapsed="false">
      <c r="A14" s="6"/>
      <c r="B14" s="6"/>
      <c r="C14" s="6"/>
      <c r="D14" s="6"/>
      <c r="E14" s="6"/>
      <c r="F14" s="6"/>
      <c r="G14" s="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7" min="6" style="0" width="26"/>
  </cols>
  <sheetData>
    <row r="1" customFormat="false" ht="27.7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4" t="s">
        <v>45</v>
      </c>
      <c r="B2" s="4"/>
      <c r="C2" s="4"/>
      <c r="D2" s="4"/>
      <c r="E2" s="4"/>
      <c r="F2" s="4"/>
      <c r="G2" s="4"/>
    </row>
    <row r="4" customFormat="false" ht="33.75" hidden="false" customHeight="true" outlineLevel="0" collapsed="false">
      <c r="A4" s="5" t="s">
        <v>31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51</v>
      </c>
    </row>
    <row r="5" customFormat="false" ht="36" hidden="false" customHeight="true" outlineLevel="0" collapsed="false">
      <c r="A5" s="6" t="s">
        <v>52</v>
      </c>
      <c r="B5" s="6" t="s">
        <v>53</v>
      </c>
      <c r="C5" s="6" t="n">
        <v>3800</v>
      </c>
      <c r="D5" s="6" t="n">
        <v>4800</v>
      </c>
      <c r="E5" s="8" t="str">
        <f aca="false">IF(OR(C5="",D5=""),"",IF(C5&gt;D5,"Rising",IF(C5&lt;D5,"Falling","Stable")))</f>
        <v>Falling</v>
      </c>
      <c r="F5" s="6" t="s">
        <v>54</v>
      </c>
      <c r="G5" s="6" t="s">
        <v>55</v>
      </c>
    </row>
    <row r="6" customFormat="false" ht="36" hidden="false" customHeight="true" outlineLevel="0" collapsed="false">
      <c r="A6" s="6"/>
      <c r="B6" s="6"/>
      <c r="C6" s="6"/>
      <c r="D6" s="6"/>
      <c r="E6" s="8" t="str">
        <f aca="false">IF(OR(C6="",D6=""),"",IF(C6&gt;D6,"Rising",IF(C6&lt;D6,"Falling","Stable")))</f>
        <v/>
      </c>
      <c r="F6" s="6"/>
      <c r="G6" s="6"/>
    </row>
    <row r="7" customFormat="false" ht="36" hidden="false" customHeight="true" outlineLevel="0" collapsed="false">
      <c r="A7" s="6"/>
      <c r="B7" s="6"/>
      <c r="C7" s="6"/>
      <c r="D7" s="6"/>
      <c r="E7" s="8" t="str">
        <f aca="false">IF(OR(C7="",D7=""),"",IF(C7&gt;D7,"Rising",IF(C7&lt;D7,"Falling","Stable")))</f>
        <v/>
      </c>
      <c r="F7" s="6"/>
      <c r="G7" s="6"/>
    </row>
    <row r="8" customFormat="false" ht="36" hidden="false" customHeight="true" outlineLevel="0" collapsed="false">
      <c r="A8" s="6"/>
      <c r="B8" s="6"/>
      <c r="C8" s="6"/>
      <c r="D8" s="6"/>
      <c r="E8" s="8" t="str">
        <f aca="false">IF(OR(C8="",D8=""),"",IF(C8&gt;D8,"Rising",IF(C8&lt;D8,"Falling","Stable")))</f>
        <v/>
      </c>
      <c r="F8" s="6"/>
      <c r="G8" s="6"/>
    </row>
    <row r="9" customFormat="false" ht="36" hidden="false" customHeight="true" outlineLevel="0" collapsed="false">
      <c r="A9" s="6"/>
      <c r="B9" s="6"/>
      <c r="C9" s="6"/>
      <c r="D9" s="6"/>
      <c r="E9" s="8" t="str">
        <f aca="false">IF(OR(C9="",D9=""),"",IF(C9&gt;D9,"Rising",IF(C9&lt;D9,"Falling","Stable")))</f>
        <v/>
      </c>
      <c r="F9" s="6"/>
      <c r="G9" s="6"/>
    </row>
    <row r="10" customFormat="false" ht="36" hidden="false" customHeight="true" outlineLevel="0" collapsed="false">
      <c r="A10" s="6"/>
      <c r="B10" s="6"/>
      <c r="C10" s="6"/>
      <c r="D10" s="6"/>
      <c r="E10" s="8" t="str">
        <f aca="false">IF(OR(C10="",D10=""),"",IF(C10&gt;D10,"Rising",IF(C10&lt;D10,"Falling","Stable")))</f>
        <v/>
      </c>
      <c r="F10" s="6"/>
      <c r="G10" s="6"/>
    </row>
    <row r="11" customFormat="false" ht="36" hidden="false" customHeight="true" outlineLevel="0" collapsed="false">
      <c r="A11" s="6"/>
      <c r="B11" s="6"/>
      <c r="C11" s="6"/>
      <c r="D11" s="6"/>
      <c r="E11" s="8" t="str">
        <f aca="false">IF(OR(C11="",D11=""),"",IF(C11&gt;D11,"Rising",IF(C11&lt;D11,"Falling","Stable")))</f>
        <v/>
      </c>
      <c r="F11" s="6"/>
      <c r="G11" s="6"/>
    </row>
    <row r="12" customFormat="false" ht="36" hidden="false" customHeight="true" outlineLevel="0" collapsed="false">
      <c r="A12" s="6"/>
      <c r="B12" s="6"/>
      <c r="C12" s="6"/>
      <c r="D12" s="6"/>
      <c r="E12" s="8" t="str">
        <f aca="false">IF(OR(C12="",D12=""),"",IF(C12&gt;D12,"Rising",IF(C12&lt;D12,"Falling","Stable")))</f>
        <v/>
      </c>
      <c r="F12" s="6"/>
      <c r="G12" s="6"/>
    </row>
    <row r="13" customFormat="false" ht="36" hidden="false" customHeight="true" outlineLevel="0" collapsed="false">
      <c r="A13" s="6"/>
      <c r="B13" s="6"/>
      <c r="C13" s="6"/>
      <c r="D13" s="6"/>
      <c r="E13" s="8" t="str">
        <f aca="false">IF(OR(C13="",D13=""),"",IF(C13&gt;D13,"Rising",IF(C13&lt;D13,"Falling","Stable")))</f>
        <v/>
      </c>
      <c r="F13" s="6"/>
      <c r="G13" s="6"/>
    </row>
    <row r="14" customFormat="false" ht="36" hidden="false" customHeight="true" outlineLevel="0" collapsed="false">
      <c r="A14" s="6"/>
      <c r="B14" s="6"/>
      <c r="C14" s="6"/>
      <c r="D14" s="6"/>
      <c r="E14" s="8" t="str">
        <f aca="false">IF(OR(C14="",D14=""),"",IF(C14&gt;D14,"Rising",IF(C14&lt;D14,"Falling","Stable")))</f>
        <v/>
      </c>
      <c r="F14" s="6"/>
      <c r="G14" s="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2026-09-13T12:52:38Z</dcterms:created>
  <dc:creator>openpyxl</dc:creator>
  <dc:description/>
  <dc:language>en-US</dc:language>
  <cp:lastModifiedBy/>
  <dcterms:modified xsi:type="dcterms:W3CDTF">2026-09-13T12:52:38Z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